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2516cc3d50704/Desktop/Ingenieria de Datos Sara/Corte 1/"/>
    </mc:Choice>
  </mc:AlternateContent>
  <xr:revisionPtr revIDLastSave="0" documentId="14_{7DD052E1-5150-45A4-BF3A-E406E6964793}" xr6:coauthVersionLast="47" xr6:coauthVersionMax="47" xr10:uidLastSave="{00000000-0000-0000-0000-000000000000}"/>
  <bookViews>
    <workbookView xWindow="-120" yWindow="-120" windowWidth="19440" windowHeight="11520" activeTab="3" xr2:uid="{8FA36DE2-F18B-4EEE-83A5-1022D682907B}"/>
  </bookViews>
  <sheets>
    <sheet name="Datos" sheetId="3" r:id="rId1"/>
    <sheet name="Limpieza" sheetId="4" r:id="rId2"/>
    <sheet name="Univariado" sheetId="5" r:id="rId3"/>
    <sheet name="Bivariad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6" l="1" a="1"/>
  <c r="A3" i="6"/>
  <c r="E5" i="6"/>
  <c r="E6" i="6"/>
  <c r="E7" i="6"/>
  <c r="E8" i="6"/>
  <c r="E9" i="6"/>
  <c r="E10" i="6"/>
  <c r="E11" i="6"/>
  <c r="E12" i="6"/>
  <c r="E13" i="6"/>
  <c r="E14" i="6"/>
  <c r="D5" i="6"/>
  <c r="D6" i="6"/>
  <c r="D7" i="6"/>
  <c r="D8" i="6"/>
  <c r="D9" i="6"/>
  <c r="D10" i="6"/>
  <c r="D11" i="6"/>
  <c r="D12" i="6"/>
  <c r="D13" i="6"/>
  <c r="D14" i="6"/>
  <c r="C5" i="6"/>
  <c r="C6" i="6"/>
  <c r="C7" i="6"/>
  <c r="C8" i="6"/>
  <c r="C9" i="6"/>
  <c r="C10" i="6"/>
  <c r="C11" i="6"/>
  <c r="C12" i="6"/>
  <c r="C13" i="6"/>
  <c r="C14" i="6"/>
  <c r="B5" i="6"/>
  <c r="B6" i="6"/>
  <c r="B7" i="6"/>
  <c r="B8" i="6"/>
  <c r="B9" i="6"/>
  <c r="B10" i="6"/>
  <c r="B11" i="6"/>
  <c r="B12" i="6"/>
  <c r="B13" i="6"/>
  <c r="B14" i="6"/>
  <c r="E4" i="6"/>
  <c r="D4" i="6"/>
  <c r="C4" i="6"/>
  <c r="B4" i="6"/>
  <c r="I16" i="6"/>
  <c r="F19" i="6"/>
  <c r="F20" i="6"/>
  <c r="F21" i="6"/>
  <c r="F22" i="6"/>
  <c r="F23" i="6"/>
  <c r="C22" i="6"/>
  <c r="C23" i="6"/>
  <c r="C17" i="6"/>
  <c r="C18" i="6"/>
  <c r="C19" i="6"/>
  <c r="C20" i="6"/>
  <c r="C21" i="6"/>
  <c r="I21" i="5"/>
  <c r="I22" i="5"/>
  <c r="I23" i="5"/>
  <c r="I24" i="5"/>
  <c r="I15" i="5"/>
  <c r="I16" i="5"/>
  <c r="I17" i="5"/>
  <c r="I18" i="5"/>
  <c r="I19" i="5"/>
  <c r="I20" i="5"/>
  <c r="I9" i="5"/>
  <c r="I10" i="5"/>
  <c r="I11" i="5"/>
  <c r="I12" i="5"/>
  <c r="I13" i="5"/>
  <c r="I14" i="5"/>
  <c r="I8" i="5"/>
  <c r="I7" i="5"/>
  <c r="I6" i="5"/>
  <c r="I5" i="5"/>
  <c r="I16" i="4"/>
  <c r="F9" i="5"/>
  <c r="F8" i="5"/>
  <c r="F7" i="5"/>
  <c r="F6" i="5"/>
  <c r="F5" i="5"/>
  <c r="C10" i="5"/>
  <c r="C9" i="5"/>
  <c r="C8" i="5"/>
  <c r="C7" i="5"/>
  <c r="C6" i="5"/>
  <c r="C5" i="5"/>
  <c r="C25" i="4" l="1"/>
  <c r="B25" i="4"/>
  <c r="C24" i="4"/>
  <c r="D24" i="4"/>
  <c r="E24" i="4"/>
  <c r="F24" i="4"/>
  <c r="B24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J19" i="3"/>
  <c r="I19" i="3"/>
  <c r="H19" i="3"/>
  <c r="G19" i="3"/>
  <c r="E19" i="3"/>
  <c r="D19" i="3"/>
  <c r="F16" i="3"/>
  <c r="F15" i="3"/>
  <c r="F14" i="3"/>
  <c r="F13" i="3"/>
  <c r="F12" i="3"/>
  <c r="K11" i="3"/>
  <c r="F11" i="3"/>
  <c r="K10" i="3"/>
  <c r="F10" i="3"/>
  <c r="K9" i="3"/>
  <c r="F9" i="3"/>
  <c r="K8" i="3"/>
  <c r="F8" i="3"/>
  <c r="K7" i="3"/>
  <c r="F7" i="3"/>
  <c r="K6" i="3"/>
  <c r="F6" i="3"/>
  <c r="K5" i="3"/>
  <c r="F5" i="3"/>
  <c r="K4" i="3"/>
  <c r="F4" i="3"/>
  <c r="K3" i="3"/>
  <c r="F3" i="3"/>
  <c r="K2" i="3"/>
  <c r="F2" i="3"/>
  <c r="K19" i="3" l="1"/>
  <c r="F1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<sst xmlns="http://schemas.openxmlformats.org/spreadsheetml/2006/main" count="91" uniqueCount="69">
  <si>
    <t>producto vendidos</t>
  </si>
  <si>
    <t xml:space="preserve">precio vendido </t>
  </si>
  <si>
    <t xml:space="preserve"> </t>
  </si>
  <si>
    <t>Ice combo</t>
  </si>
  <si>
    <t xml:space="preserve">lapiz ojos negros </t>
  </si>
  <si>
    <t>combo completo</t>
  </si>
  <si>
    <t>labiales</t>
  </si>
  <si>
    <t xml:space="preserve">labial </t>
  </si>
  <si>
    <t>gloss</t>
  </si>
  <si>
    <t xml:space="preserve">combo pequeño </t>
  </si>
  <si>
    <t>Lapiz de labios (café)</t>
  </si>
  <si>
    <t>Labial (rojo)</t>
  </si>
  <si>
    <t>Labial (Rosado)</t>
  </si>
  <si>
    <t>Labial (Morado)</t>
  </si>
  <si>
    <t>Gloss (morado)</t>
  </si>
  <si>
    <t>Gloss (rojo)</t>
  </si>
  <si>
    <t>Gloss (azul)</t>
  </si>
  <si>
    <t>Paquetes</t>
  </si>
  <si>
    <t>Lip combo</t>
  </si>
  <si>
    <t>Eyes combo</t>
  </si>
  <si>
    <t>Combo completo</t>
  </si>
  <si>
    <t>Producto</t>
  </si>
  <si>
    <t xml:space="preserve">Cantidad </t>
  </si>
  <si>
    <t>precio compra x u</t>
  </si>
  <si>
    <t>Precio base</t>
  </si>
  <si>
    <t xml:space="preserve"> precio comprado</t>
  </si>
  <si>
    <t xml:space="preserve">total cantidad preciobase </t>
  </si>
  <si>
    <t>Lapiz ojos (azul)</t>
  </si>
  <si>
    <t>Lapiz de ojos (negro)</t>
  </si>
  <si>
    <t>Pestañina</t>
  </si>
  <si>
    <t>Lapiz de labios (rojo)</t>
  </si>
  <si>
    <t>clientes</t>
  </si>
  <si>
    <t>id_producto vendido</t>
  </si>
  <si>
    <t>producto</t>
  </si>
  <si>
    <t>precio vendido</t>
  </si>
  <si>
    <t>precio real</t>
  </si>
  <si>
    <t>diferencia</t>
  </si>
  <si>
    <t>Eyes combo  (paquete 2)</t>
  </si>
  <si>
    <t>Combo completo (paquete 3)</t>
  </si>
  <si>
    <t>Labial (rosado)</t>
  </si>
  <si>
    <t>Labial (morado)</t>
  </si>
  <si>
    <t>Lip combo (paquete 1)</t>
  </si>
  <si>
    <t>Lapiz de ojos (azul) promoción</t>
  </si>
  <si>
    <t>Nulos</t>
  </si>
  <si>
    <t xml:space="preserve">Duplicados </t>
  </si>
  <si>
    <r>
      <t>A. Descriptivas del Precio Vendido (</t>
    </r>
    <r>
      <rPr>
        <sz val="10"/>
        <color theme="1"/>
        <rFont val="Arial Unicode MS"/>
      </rPr>
      <t>precio vendido</t>
    </r>
    <r>
      <rPr>
        <sz val="11"/>
        <color theme="1"/>
        <rFont val="Aptos Narrow"/>
        <family val="2"/>
        <scheme val="minor"/>
      </rPr>
      <t xml:space="preserve"> en columna D)</t>
    </r>
  </si>
  <si>
    <t>Total de ventas realizadas</t>
  </si>
  <si>
    <t>Total de ingresos generados</t>
  </si>
  <si>
    <t>Precio vendio promedio</t>
  </si>
  <si>
    <t>Precio vendido minimo</t>
  </si>
  <si>
    <t>precio vendido maximo</t>
  </si>
  <si>
    <t>Desviación estándar de ventas</t>
  </si>
  <si>
    <t>B. Cuartiles y Detección de Outliers (Valores Atípicos en Ventas)</t>
  </si>
  <si>
    <t>Primer cuartil</t>
  </si>
  <si>
    <t>Mediana</t>
  </si>
  <si>
    <t>Tercer cuartil</t>
  </si>
  <si>
    <t>Limite inferior</t>
  </si>
  <si>
    <t>Limite superior</t>
  </si>
  <si>
    <t>C. Frecuencia y Distribución por Producto</t>
  </si>
  <si>
    <r>
      <t xml:space="preserve"> </t>
    </r>
    <r>
      <rPr>
        <sz val="10"/>
        <color theme="1"/>
        <rFont val="Arial Unicode MS"/>
      </rPr>
      <t>Combo completo (paquete 3)</t>
    </r>
  </si>
  <si>
    <t>Eyes combo (paquete 2)</t>
  </si>
  <si>
    <r>
      <t xml:space="preserve"> </t>
    </r>
    <r>
      <rPr>
        <sz val="10"/>
        <color theme="1"/>
        <rFont val="Arial Unicode MS"/>
      </rPr>
      <t>Labial (rojo)</t>
    </r>
  </si>
  <si>
    <r>
      <t xml:space="preserve"> </t>
    </r>
    <r>
      <rPr>
        <sz val="10"/>
        <color theme="1"/>
        <rFont val="Arial Unicode MS"/>
      </rPr>
      <t>Labial (rosado)</t>
    </r>
  </si>
  <si>
    <r>
      <t xml:space="preserve"> </t>
    </r>
    <r>
      <rPr>
        <sz val="10"/>
        <color theme="1"/>
        <rFont val="Arial Unicode MS"/>
      </rPr>
      <t>Gloss (rojo)</t>
    </r>
  </si>
  <si>
    <r>
      <t xml:space="preserve"> </t>
    </r>
    <r>
      <rPr>
        <sz val="10"/>
        <color theme="1"/>
        <rFont val="Arial Unicode MS"/>
      </rPr>
      <t>Labial (Rosado)</t>
    </r>
  </si>
  <si>
    <t>unidades vendidas</t>
  </si>
  <si>
    <t>Ingreso total</t>
  </si>
  <si>
    <t>precio promedio</t>
  </si>
  <si>
    <t>descuento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</si>
</sst>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44" fontId="2" fillId="2" borderId="1" xfId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44" fontId="1" fillId="0" borderId="1" xfId="1" applyFont="1" applyBorder="1" applyAlignment="1">
      <alignment wrapText="1"/>
    </xf>
    <xf numFmtId="44" fontId="0" fillId="0" borderId="1" xfId="1" applyFont="1" applyBorder="1" applyAlignment="1">
      <alignment wrapText="1"/>
    </xf>
    <xf numFmtId="44" fontId="0" fillId="0" borderId="1" xfId="0" applyNumberFormat="1" applyBorder="1" applyAlignment="1">
      <alignment wrapText="1"/>
    </xf>
    <xf numFmtId="44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44" fontId="1" fillId="0" borderId="0" xfId="1" applyFont="1"/>
    <xf numFmtId="44" fontId="0" fillId="0" borderId="0" xfId="1" applyFont="1"/>
    <xf numFmtId="44" fontId="0" fillId="0" borderId="0" xfId="0" applyNumberFormat="1"/>
    <xf numFmtId="0" fontId="0" fillId="0" borderId="0" xfId="0" applyFont="1"/>
    <xf numFmtId="0" fontId="3" fillId="0" borderId="0" xfId="0" applyFon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4447-6D17-4AD8-A251-F97662EF0E1C}">
  <dimension ref="A1:K21"/>
  <sheetViews>
    <sheetView topLeftCell="A2" workbookViewId="0">
      <selection activeCell="I34" sqref="I34"/>
    </sheetView>
  </sheetViews>
  <sheetFormatPr baseColWidth="10" defaultRowHeight="15"/>
  <sheetData>
    <row r="1" spans="1:11" ht="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2" t="s">
        <v>26</v>
      </c>
      <c r="G1" s="2"/>
      <c r="H1" s="1" t="s">
        <v>0</v>
      </c>
      <c r="I1" s="1" t="s">
        <v>1</v>
      </c>
      <c r="K1" t="s">
        <v>2</v>
      </c>
    </row>
    <row r="2" spans="1:11" ht="30">
      <c r="A2" s="1" t="s">
        <v>27</v>
      </c>
      <c r="B2" s="2">
        <v>2</v>
      </c>
      <c r="C2" s="2">
        <v>3</v>
      </c>
      <c r="D2" s="2">
        <v>6</v>
      </c>
      <c r="E2" s="2"/>
      <c r="F2" s="2">
        <f>B2*D2</f>
        <v>12</v>
      </c>
      <c r="G2" s="2"/>
      <c r="H2" t="s">
        <v>3</v>
      </c>
      <c r="I2">
        <v>10</v>
      </c>
      <c r="K2">
        <f>I2-C15</f>
        <v>7</v>
      </c>
    </row>
    <row r="3" spans="1:11" ht="45">
      <c r="A3" s="1" t="s">
        <v>28</v>
      </c>
      <c r="B3" s="2">
        <v>3</v>
      </c>
      <c r="C3" s="2">
        <v>2.5</v>
      </c>
      <c r="D3" s="2">
        <v>5.5</v>
      </c>
      <c r="E3" s="2"/>
      <c r="F3" s="2">
        <f t="shared" ref="F3:F16" si="0">B3*D3</f>
        <v>16.5</v>
      </c>
      <c r="G3" s="2"/>
      <c r="H3" t="s">
        <v>4</v>
      </c>
      <c r="I3">
        <v>5.5</v>
      </c>
      <c r="K3">
        <f>I3-C3</f>
        <v>3</v>
      </c>
    </row>
    <row r="4" spans="1:11">
      <c r="A4" s="1" t="s">
        <v>29</v>
      </c>
      <c r="B4" s="2">
        <v>5</v>
      </c>
      <c r="C4" s="2">
        <v>4</v>
      </c>
      <c r="D4" s="2">
        <v>6.5</v>
      </c>
      <c r="E4" s="2"/>
      <c r="F4" s="2">
        <f t="shared" si="0"/>
        <v>32.5</v>
      </c>
      <c r="G4" s="2"/>
      <c r="H4" t="s">
        <v>5</v>
      </c>
      <c r="I4">
        <v>24.9</v>
      </c>
      <c r="K4">
        <f>I4-C16</f>
        <v>11.899999999999999</v>
      </c>
    </row>
    <row r="5" spans="1:11" ht="45">
      <c r="A5" s="1" t="s">
        <v>30</v>
      </c>
      <c r="B5" s="2">
        <v>2</v>
      </c>
      <c r="C5" s="2">
        <v>3</v>
      </c>
      <c r="D5" s="2">
        <v>6</v>
      </c>
      <c r="E5" s="2"/>
      <c r="F5" s="2">
        <f t="shared" si="0"/>
        <v>12</v>
      </c>
      <c r="G5" s="2"/>
      <c r="H5" t="s">
        <v>6</v>
      </c>
      <c r="I5">
        <v>15</v>
      </c>
      <c r="K5">
        <f>I5-C7</f>
        <v>11</v>
      </c>
    </row>
    <row r="6" spans="1:11" ht="45">
      <c r="A6" s="1" t="s">
        <v>10</v>
      </c>
      <c r="B6" s="2">
        <v>3</v>
      </c>
      <c r="C6" s="2">
        <v>2.5</v>
      </c>
      <c r="D6" s="2">
        <v>5</v>
      </c>
      <c r="E6" s="2"/>
      <c r="F6" s="2">
        <f t="shared" si="0"/>
        <v>15</v>
      </c>
      <c r="G6" s="2"/>
      <c r="H6" t="s">
        <v>4</v>
      </c>
      <c r="I6">
        <v>5.5</v>
      </c>
      <c r="K6">
        <f>I6-C3</f>
        <v>3</v>
      </c>
    </row>
    <row r="7" spans="1:11" ht="30">
      <c r="A7" s="1" t="s">
        <v>11</v>
      </c>
      <c r="B7" s="2">
        <v>2</v>
      </c>
      <c r="C7" s="2">
        <v>4</v>
      </c>
      <c r="D7" s="2">
        <v>7</v>
      </c>
      <c r="E7" s="2"/>
      <c r="F7" s="2">
        <f t="shared" si="0"/>
        <v>14</v>
      </c>
      <c r="G7" s="2"/>
      <c r="H7" t="s">
        <v>7</v>
      </c>
      <c r="I7">
        <v>5.3</v>
      </c>
      <c r="K7">
        <f>I7-C5</f>
        <v>2.2999999999999998</v>
      </c>
    </row>
    <row r="8" spans="1:11" ht="30">
      <c r="A8" s="1" t="s">
        <v>12</v>
      </c>
      <c r="B8" s="2">
        <v>2</v>
      </c>
      <c r="C8" s="2">
        <v>4</v>
      </c>
      <c r="D8" s="2">
        <v>7</v>
      </c>
      <c r="E8" s="2"/>
      <c r="F8" s="2">
        <f t="shared" si="0"/>
        <v>14</v>
      </c>
      <c r="G8" s="2"/>
      <c r="H8" t="s">
        <v>8</v>
      </c>
      <c r="I8">
        <v>6</v>
      </c>
      <c r="K8">
        <f>I8-C11</f>
        <v>3</v>
      </c>
    </row>
    <row r="9" spans="1:11" ht="30">
      <c r="A9" s="1" t="s">
        <v>13</v>
      </c>
      <c r="B9" s="2">
        <v>1</v>
      </c>
      <c r="C9" s="2">
        <v>4.5</v>
      </c>
      <c r="D9" s="2">
        <v>8</v>
      </c>
      <c r="E9" s="2"/>
      <c r="F9" s="2">
        <f t="shared" si="0"/>
        <v>8</v>
      </c>
      <c r="G9" s="2"/>
      <c r="H9" t="s">
        <v>9</v>
      </c>
      <c r="I9">
        <v>10</v>
      </c>
      <c r="K9">
        <f>I9-C15</f>
        <v>7</v>
      </c>
    </row>
    <row r="10" spans="1:11" ht="30">
      <c r="A10" s="1" t="s">
        <v>14</v>
      </c>
      <c r="B10" s="2">
        <v>2</v>
      </c>
      <c r="C10" s="2">
        <v>3.5</v>
      </c>
      <c r="D10" s="2">
        <v>6</v>
      </c>
      <c r="E10" s="2"/>
      <c r="F10" s="2">
        <f t="shared" si="0"/>
        <v>12</v>
      </c>
      <c r="G10" s="2"/>
      <c r="H10" t="s">
        <v>8</v>
      </c>
      <c r="I10">
        <v>3</v>
      </c>
      <c r="K10">
        <f>I10-C11</f>
        <v>0</v>
      </c>
    </row>
    <row r="11" spans="1:11" ht="30">
      <c r="A11" s="1" t="s">
        <v>15</v>
      </c>
      <c r="B11" s="2">
        <v>1</v>
      </c>
      <c r="C11" s="2">
        <v>3</v>
      </c>
      <c r="D11" s="2">
        <v>6</v>
      </c>
      <c r="E11" s="2"/>
      <c r="F11" s="2">
        <f t="shared" si="0"/>
        <v>6</v>
      </c>
      <c r="G11" s="2"/>
      <c r="H11" t="s">
        <v>7</v>
      </c>
      <c r="I11">
        <v>3</v>
      </c>
      <c r="K11">
        <f>I11-C6</f>
        <v>0.5</v>
      </c>
    </row>
    <row r="12" spans="1:11" ht="30">
      <c r="A12" s="1" t="s">
        <v>16</v>
      </c>
      <c r="B12" s="2">
        <v>2</v>
      </c>
      <c r="C12" s="2">
        <v>3.5</v>
      </c>
      <c r="D12" s="2">
        <v>6</v>
      </c>
      <c r="E12" s="2"/>
      <c r="F12" s="2">
        <f t="shared" si="0"/>
        <v>12</v>
      </c>
      <c r="G12" s="2"/>
    </row>
    <row r="13" spans="1:11">
      <c r="A13" s="1" t="s">
        <v>17</v>
      </c>
      <c r="B13" s="2">
        <v>15</v>
      </c>
      <c r="C13" s="2"/>
      <c r="D13" s="2"/>
      <c r="E13" s="2"/>
      <c r="F13" s="2">
        <f t="shared" si="0"/>
        <v>0</v>
      </c>
      <c r="G13" s="2"/>
    </row>
    <row r="14" spans="1:11">
      <c r="A14" s="1" t="s">
        <v>18</v>
      </c>
      <c r="B14" s="2">
        <v>5</v>
      </c>
      <c r="C14" s="2">
        <v>8.5</v>
      </c>
      <c r="D14" s="2">
        <v>18.899999999999999</v>
      </c>
      <c r="E14" s="2"/>
      <c r="F14" s="2">
        <f t="shared" si="0"/>
        <v>94.5</v>
      </c>
      <c r="G14" s="2"/>
    </row>
    <row r="15" spans="1:11" ht="30">
      <c r="A15" s="1" t="s">
        <v>19</v>
      </c>
      <c r="B15" s="2">
        <v>5</v>
      </c>
      <c r="C15" s="2">
        <v>3</v>
      </c>
      <c r="D15" s="2">
        <v>10</v>
      </c>
      <c r="E15" s="2"/>
      <c r="F15" s="2">
        <f t="shared" si="0"/>
        <v>50</v>
      </c>
      <c r="G15" s="2"/>
    </row>
    <row r="16" spans="1:11" ht="30">
      <c r="A16" s="1" t="s">
        <v>20</v>
      </c>
      <c r="B16" s="2">
        <v>5</v>
      </c>
      <c r="C16" s="2">
        <v>13</v>
      </c>
      <c r="D16" s="2">
        <v>26.9</v>
      </c>
      <c r="E16" s="2"/>
      <c r="F16" s="2">
        <f t="shared" si="0"/>
        <v>134.5</v>
      </c>
      <c r="G16" s="2"/>
    </row>
    <row r="17" spans="1:11">
      <c r="A17" s="2"/>
      <c r="B17" s="2"/>
      <c r="C17" s="2"/>
      <c r="D17" s="2"/>
      <c r="E17" s="2"/>
      <c r="F17" s="2"/>
      <c r="G17" s="2"/>
    </row>
    <row r="18" spans="1:11">
      <c r="A18" s="2"/>
      <c r="B18" s="2"/>
      <c r="C18" s="2"/>
      <c r="D18" s="2"/>
      <c r="E18" s="2"/>
      <c r="F18" s="2"/>
      <c r="G18" s="2"/>
    </row>
    <row r="19" spans="1:11">
      <c r="D19">
        <f>SUM(D16,D15,D14,D13,D12,D11,D10,D9,D8,D2,D3,D4,D5,D6,D7)</f>
        <v>124.8</v>
      </c>
      <c r="E19">
        <f t="shared" ref="E19:H19" si="1">SUM(E16,E15,E14,E13,E12,E11,E10,E9,E8,E2,E3,E4,E5,E6,E7)</f>
        <v>0</v>
      </c>
      <c r="F19">
        <f t="shared" si="1"/>
        <v>433</v>
      </c>
      <c r="G19">
        <f t="shared" si="1"/>
        <v>0</v>
      </c>
      <c r="H19">
        <f t="shared" si="1"/>
        <v>0</v>
      </c>
      <c r="I19">
        <f>SUM(I16,I15,I14,I13,I12,I11,I10,I9,I8,I2,I3,I4,I5,I6,I7)</f>
        <v>88.2</v>
      </c>
      <c r="J19">
        <f t="shared" ref="J19:K19" si="2">SUM(J16,J15,J14,J13,J12,J11,J10,J9,J8,J2,J3,J4,J5,J6,J7)</f>
        <v>0</v>
      </c>
      <c r="K19">
        <f t="shared" si="2"/>
        <v>48.699999999999996</v>
      </c>
    </row>
    <row r="21" spans="1:11">
      <c r="F21">
        <v>433000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2B92-31EB-4702-802C-D41FEC7AAD59}">
  <dimension ref="A1:I25"/>
  <sheetViews>
    <sheetView zoomScale="79" workbookViewId="0">
      <selection activeCell="A3" sqref="A3:XFD3"/>
    </sheetView>
  </sheetViews>
  <sheetFormatPr baseColWidth="10" defaultRowHeight="15"/>
  <cols>
    <col min="1" max="1" width="22.140625" customWidth="1"/>
    <col min="3" max="3" width="25.5703125" customWidth="1"/>
  </cols>
  <sheetData>
    <row r="1" spans="1:9" ht="30">
      <c r="A1" s="3" t="s">
        <v>31</v>
      </c>
      <c r="B1" s="3" t="s">
        <v>32</v>
      </c>
      <c r="C1" s="3" t="s">
        <v>33</v>
      </c>
      <c r="D1" s="4" t="s">
        <v>34</v>
      </c>
      <c r="E1" s="4" t="s">
        <v>35</v>
      </c>
      <c r="F1" s="3" t="s">
        <v>36</v>
      </c>
      <c r="G1" s="5"/>
      <c r="H1" s="2"/>
    </row>
    <row r="2" spans="1:9" ht="30.75" customHeight="1">
      <c r="A2" s="5">
        <v>1</v>
      </c>
      <c r="B2" s="5">
        <v>1234</v>
      </c>
      <c r="C2" s="5" t="s">
        <v>37</v>
      </c>
      <c r="D2" s="6">
        <v>10</v>
      </c>
      <c r="E2" s="7">
        <v>10</v>
      </c>
      <c r="F2" s="7">
        <f>E2-D2</f>
        <v>0</v>
      </c>
      <c r="G2" s="8"/>
      <c r="H2" s="2"/>
    </row>
    <row r="3" spans="1:9" ht="24.75" customHeight="1">
      <c r="A3" s="5">
        <v>2</v>
      </c>
      <c r="B3" s="5">
        <v>1235</v>
      </c>
      <c r="C3" s="5" t="s">
        <v>28</v>
      </c>
      <c r="D3" s="6">
        <v>5.5</v>
      </c>
      <c r="E3" s="7">
        <v>5.5</v>
      </c>
      <c r="F3" s="7">
        <f t="shared" ref="F3:F21" si="0">E3-D3</f>
        <v>0</v>
      </c>
      <c r="G3" s="8"/>
      <c r="H3" s="2"/>
    </row>
    <row r="4" spans="1:9" ht="25.5" customHeight="1">
      <c r="A4" s="5">
        <v>3</v>
      </c>
      <c r="B4" s="5">
        <v>1236</v>
      </c>
      <c r="C4" s="5" t="s">
        <v>28</v>
      </c>
      <c r="D4" s="6">
        <v>5.5</v>
      </c>
      <c r="E4" s="7">
        <v>5.5</v>
      </c>
      <c r="F4" s="7">
        <f t="shared" si="0"/>
        <v>0</v>
      </c>
      <c r="G4" s="8"/>
      <c r="H4" s="2"/>
    </row>
    <row r="5" spans="1:9" ht="27" customHeight="1">
      <c r="A5" s="5">
        <v>4</v>
      </c>
      <c r="B5" s="5">
        <v>1237</v>
      </c>
      <c r="C5" s="5" t="s">
        <v>38</v>
      </c>
      <c r="D5" s="6">
        <v>24.9</v>
      </c>
      <c r="E5" s="7">
        <v>26.9</v>
      </c>
      <c r="F5" s="7">
        <f t="shared" si="0"/>
        <v>2</v>
      </c>
      <c r="G5" s="8"/>
      <c r="H5" s="2"/>
    </row>
    <row r="6" spans="1:9" ht="30">
      <c r="A6" s="5">
        <v>5</v>
      </c>
      <c r="B6" s="5">
        <v>1238</v>
      </c>
      <c r="C6" s="5" t="s">
        <v>11</v>
      </c>
      <c r="D6" s="6">
        <v>5</v>
      </c>
      <c r="E6" s="7">
        <v>7</v>
      </c>
      <c r="F6" s="7">
        <f t="shared" si="0"/>
        <v>2</v>
      </c>
      <c r="G6" s="8"/>
      <c r="H6" s="2"/>
    </row>
    <row r="7" spans="1:9" ht="30">
      <c r="A7" s="5">
        <v>6</v>
      </c>
      <c r="B7" s="5">
        <v>1239</v>
      </c>
      <c r="C7" s="5" t="s">
        <v>39</v>
      </c>
      <c r="D7" s="6">
        <v>5</v>
      </c>
      <c r="E7" s="7">
        <v>7</v>
      </c>
      <c r="F7" s="7">
        <f t="shared" si="0"/>
        <v>2</v>
      </c>
      <c r="G7" s="8"/>
      <c r="H7" s="2"/>
    </row>
    <row r="8" spans="1:9" ht="30">
      <c r="A8" s="5">
        <v>7</v>
      </c>
      <c r="B8" s="5">
        <v>1230</v>
      </c>
      <c r="C8" s="5" t="s">
        <v>40</v>
      </c>
      <c r="D8" s="6">
        <v>5</v>
      </c>
      <c r="E8" s="7">
        <v>8</v>
      </c>
      <c r="F8" s="7">
        <f t="shared" si="0"/>
        <v>3</v>
      </c>
      <c r="G8" s="8"/>
      <c r="H8" s="2"/>
    </row>
    <row r="9" spans="1:9" ht="30">
      <c r="A9" s="5">
        <v>8</v>
      </c>
      <c r="B9" s="5">
        <v>2234</v>
      </c>
      <c r="C9" s="5" t="s">
        <v>40</v>
      </c>
      <c r="D9" s="6">
        <v>5.3</v>
      </c>
      <c r="E9" s="7">
        <v>8</v>
      </c>
      <c r="F9" s="7">
        <f t="shared" si="0"/>
        <v>2.7</v>
      </c>
      <c r="G9" s="8"/>
      <c r="H9" s="2"/>
    </row>
    <row r="10" spans="1:9" ht="30">
      <c r="A10" s="5">
        <v>9</v>
      </c>
      <c r="B10" s="5">
        <v>2235</v>
      </c>
      <c r="C10" s="5" t="s">
        <v>16</v>
      </c>
      <c r="D10" s="6">
        <v>6</v>
      </c>
      <c r="E10" s="7">
        <v>6</v>
      </c>
      <c r="F10" s="7">
        <f t="shared" si="0"/>
        <v>0</v>
      </c>
      <c r="G10" s="8"/>
      <c r="H10" s="2"/>
    </row>
    <row r="11" spans="1:9" ht="26.25" customHeight="1">
      <c r="A11" s="5">
        <v>10</v>
      </c>
      <c r="B11" s="5">
        <v>2236</v>
      </c>
      <c r="C11" s="5" t="s">
        <v>37</v>
      </c>
      <c r="D11" s="6">
        <v>10</v>
      </c>
      <c r="E11" s="7">
        <v>10</v>
      </c>
      <c r="F11" s="7">
        <f t="shared" si="0"/>
        <v>0</v>
      </c>
      <c r="G11" s="8"/>
      <c r="H11" s="2"/>
    </row>
    <row r="12" spans="1:9" ht="20.25" customHeight="1">
      <c r="A12" s="5">
        <v>11</v>
      </c>
      <c r="B12" s="5">
        <v>2237</v>
      </c>
      <c r="C12" s="5" t="s">
        <v>15</v>
      </c>
      <c r="D12" s="6">
        <v>3</v>
      </c>
      <c r="E12" s="7">
        <v>6</v>
      </c>
      <c r="F12" s="7">
        <f t="shared" si="0"/>
        <v>3</v>
      </c>
      <c r="G12" s="8"/>
      <c r="H12" s="2"/>
    </row>
    <row r="13" spans="1:9" ht="30">
      <c r="A13" s="5">
        <v>12</v>
      </c>
      <c r="B13" s="5">
        <v>2238</v>
      </c>
      <c r="C13" s="5" t="s">
        <v>12</v>
      </c>
      <c r="D13" s="6">
        <v>3</v>
      </c>
      <c r="E13" s="7">
        <v>7</v>
      </c>
      <c r="F13" s="7">
        <f t="shared" si="0"/>
        <v>4</v>
      </c>
      <c r="G13" s="8"/>
      <c r="H13" s="2"/>
    </row>
    <row r="14" spans="1:9" ht="30">
      <c r="A14" s="5">
        <v>13</v>
      </c>
      <c r="B14" s="5">
        <v>2239</v>
      </c>
      <c r="C14" s="5" t="s">
        <v>41</v>
      </c>
      <c r="D14" s="6">
        <v>16</v>
      </c>
      <c r="E14" s="7">
        <v>18.899999999999999</v>
      </c>
      <c r="F14" s="7">
        <f t="shared" si="0"/>
        <v>2.8999999999999986</v>
      </c>
      <c r="G14" s="8"/>
      <c r="H14" s="2"/>
    </row>
    <row r="15" spans="1:9">
      <c r="A15" s="5">
        <v>14</v>
      </c>
      <c r="B15" s="5">
        <v>2230</v>
      </c>
      <c r="C15" s="5" t="s">
        <v>41</v>
      </c>
      <c r="D15" s="6">
        <v>15.8</v>
      </c>
      <c r="E15" s="7">
        <v>18.899999999999999</v>
      </c>
      <c r="F15" s="7">
        <f t="shared" si="0"/>
        <v>3.0999999999999979</v>
      </c>
      <c r="G15" s="8"/>
      <c r="H15" s="2"/>
    </row>
    <row r="16" spans="1:9" ht="18.75" customHeight="1">
      <c r="A16" s="5">
        <v>15</v>
      </c>
      <c r="B16" s="5">
        <v>3234</v>
      </c>
      <c r="C16" s="5" t="s">
        <v>37</v>
      </c>
      <c r="D16" s="6">
        <v>10</v>
      </c>
      <c r="E16" s="7">
        <v>10</v>
      </c>
      <c r="F16" s="7">
        <f t="shared" si="0"/>
        <v>0</v>
      </c>
      <c r="G16" s="8"/>
      <c r="H16" s="2"/>
      <c r="I16">
        <f>COUNTIF(Limpieza!$C$3:$C$21, A3)</f>
        <v>0</v>
      </c>
    </row>
    <row r="17" spans="1:8" ht="19.5" customHeight="1">
      <c r="A17" s="5">
        <v>16</v>
      </c>
      <c r="B17" s="5">
        <v>3235</v>
      </c>
      <c r="C17" s="5" t="s">
        <v>37</v>
      </c>
      <c r="D17" s="6">
        <v>8.9</v>
      </c>
      <c r="E17" s="7">
        <v>10</v>
      </c>
      <c r="F17" s="7">
        <f t="shared" si="0"/>
        <v>1.0999999999999996</v>
      </c>
      <c r="G17" s="8"/>
      <c r="H17" s="2"/>
    </row>
    <row r="18" spans="1:8" ht="45">
      <c r="A18" s="5">
        <v>17</v>
      </c>
      <c r="B18" s="5">
        <v>3236</v>
      </c>
      <c r="C18" s="5" t="s">
        <v>38</v>
      </c>
      <c r="D18" s="6">
        <v>25.9</v>
      </c>
      <c r="E18" s="7">
        <v>26.9</v>
      </c>
      <c r="F18" s="7">
        <f t="shared" si="0"/>
        <v>1</v>
      </c>
      <c r="G18" s="8"/>
      <c r="H18" s="2"/>
    </row>
    <row r="19" spans="1:8" ht="45">
      <c r="A19" s="5">
        <v>18</v>
      </c>
      <c r="B19" s="5">
        <v>3237</v>
      </c>
      <c r="C19" s="5" t="s">
        <v>38</v>
      </c>
      <c r="D19" s="6">
        <v>26.9</v>
      </c>
      <c r="E19" s="7">
        <v>26.9</v>
      </c>
      <c r="F19" s="7">
        <f>E19-D19</f>
        <v>0</v>
      </c>
      <c r="G19" s="8"/>
      <c r="H19" s="2"/>
    </row>
    <row r="20" spans="1:8" ht="45">
      <c r="A20" s="5">
        <v>19</v>
      </c>
      <c r="B20" s="5">
        <v>3238</v>
      </c>
      <c r="C20" s="5" t="s">
        <v>42</v>
      </c>
      <c r="D20" s="6">
        <v>2.5</v>
      </c>
      <c r="E20" s="7">
        <v>6</v>
      </c>
      <c r="F20" s="7">
        <f t="shared" si="0"/>
        <v>3.5</v>
      </c>
      <c r="G20" s="9"/>
    </row>
    <row r="21" spans="1:8" ht="45">
      <c r="A21" s="5">
        <v>20</v>
      </c>
      <c r="B21" s="5">
        <v>3239</v>
      </c>
      <c r="C21" s="5" t="s">
        <v>42</v>
      </c>
      <c r="D21" s="6">
        <v>2.5</v>
      </c>
      <c r="E21" s="7">
        <v>6</v>
      </c>
      <c r="F21" s="7">
        <f t="shared" si="0"/>
        <v>3.5</v>
      </c>
      <c r="G21" s="9"/>
    </row>
    <row r="22" spans="1:8">
      <c r="A22" s="10"/>
      <c r="B22" s="10"/>
      <c r="C22" s="10"/>
      <c r="D22" s="10"/>
      <c r="E22" s="10"/>
      <c r="F22" s="10"/>
      <c r="G22" s="9"/>
    </row>
    <row r="23" spans="1:8">
      <c r="D23" s="11"/>
      <c r="E23" s="12"/>
    </row>
    <row r="24" spans="1:8">
      <c r="A24" t="s">
        <v>43</v>
      </c>
      <c r="B24">
        <f>COUNTBLANK(B1:B21)</f>
        <v>0</v>
      </c>
      <c r="C24">
        <f t="shared" ref="C24:F24" si="1">COUNTBLANK(C1:C21)</f>
        <v>0</v>
      </c>
      <c r="D24">
        <f t="shared" si="1"/>
        <v>0</v>
      </c>
      <c r="E24">
        <f t="shared" si="1"/>
        <v>0</v>
      </c>
      <c r="F24">
        <f t="shared" si="1"/>
        <v>0</v>
      </c>
    </row>
    <row r="25" spans="1:8">
      <c r="A25" t="s">
        <v>44</v>
      </c>
      <c r="B25" t="str">
        <f>IF(COUNTIF($B$2:$B$21,B2)&gt;1,"Duplicado","Único")</f>
        <v>Único</v>
      </c>
      <c r="C25">
        <f>COUNTIF($C$2:$C$21, C2)</f>
        <v>4</v>
      </c>
    </row>
  </sheetData>
  <mergeCells count="1">
    <mergeCell ref="A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4B6D-9CD3-4C3A-BFDE-4882A8EB1C2F}">
  <dimension ref="B4:I24"/>
  <sheetViews>
    <sheetView workbookViewId="0">
      <selection activeCell="I24" sqref="I24"/>
    </sheetView>
  </sheetViews>
  <sheetFormatPr baseColWidth="10" defaultRowHeight="15"/>
  <cols>
    <col min="2" max="2" width="31.140625" customWidth="1"/>
    <col min="5" max="5" width="33.28515625" customWidth="1"/>
    <col min="8" max="8" width="23.5703125" customWidth="1"/>
  </cols>
  <sheetData>
    <row r="4" spans="2:9" ht="36.75" customHeight="1">
      <c r="B4" s="2" t="s">
        <v>45</v>
      </c>
      <c r="E4" s="2" t="s">
        <v>52</v>
      </c>
      <c r="H4" s="2" t="s">
        <v>58</v>
      </c>
    </row>
    <row r="5" spans="2:9">
      <c r="B5" t="s">
        <v>46</v>
      </c>
      <c r="C5">
        <f>COUNT(Limpieza!$D$2:$D$21)</f>
        <v>20</v>
      </c>
      <c r="E5" t="s">
        <v>53</v>
      </c>
      <c r="F5" s="14">
        <f>_xlfn.QUARTILE.INC(Limpieza!$D$2:$D$21, 1)</f>
        <v>5</v>
      </c>
      <c r="I5">
        <f>COUNTIF(Limpieza!$C$2:$C$21, A2)</f>
        <v>0</v>
      </c>
    </row>
    <row r="6" spans="2:9">
      <c r="B6" t="s">
        <v>47</v>
      </c>
      <c r="C6" s="13">
        <f>SUM(Limpieza!$D$2:$D$21)</f>
        <v>196.70000000000002</v>
      </c>
      <c r="E6" t="s">
        <v>54</v>
      </c>
      <c r="F6" s="13">
        <f>MEDIAN(Limpieza!$D$2:$D$21)</f>
        <v>5.75</v>
      </c>
      <c r="I6">
        <f>COUNTIF(Limpieza!$C$2:$C$21, A3)</f>
        <v>0</v>
      </c>
    </row>
    <row r="7" spans="2:9">
      <c r="B7" t="s">
        <v>48</v>
      </c>
      <c r="C7" s="13">
        <f>AVERAGE(Limpieza!$D$2:$D$21)</f>
        <v>9.8350000000000009</v>
      </c>
      <c r="E7" t="s">
        <v>55</v>
      </c>
      <c r="F7">
        <f>_xlfn.QUARTILE.INC(Limpieza!$D$2:$D$21, 3)</f>
        <v>11.45</v>
      </c>
      <c r="I7">
        <f>COUNTIF(Limpieza!$C$2:$C$21, A4)</f>
        <v>0</v>
      </c>
    </row>
    <row r="8" spans="2:9">
      <c r="B8" t="s">
        <v>49</v>
      </c>
      <c r="C8" s="13">
        <f>MIN(Limpieza!$D$2:$D$21)</f>
        <v>2.5</v>
      </c>
      <c r="E8" t="s">
        <v>56</v>
      </c>
      <c r="F8">
        <f>F5 - 1.5 * (F5-F7)</f>
        <v>14.674999999999999</v>
      </c>
      <c r="I8">
        <f>COUNTIF(Limpieza!$C$2:$C$21, A5)</f>
        <v>0</v>
      </c>
    </row>
    <row r="9" spans="2:9">
      <c r="B9" t="s">
        <v>50</v>
      </c>
      <c r="C9" s="13">
        <f>MAX(Limpieza!$D$2:$D$21)</f>
        <v>26.9</v>
      </c>
      <c r="E9" t="s">
        <v>57</v>
      </c>
      <c r="F9">
        <f>F7 + 1.5 *(F7-F5)</f>
        <v>21.125</v>
      </c>
      <c r="I9">
        <f>COUNTIF(Limpieza!$C$2:$C$21, A6)</f>
        <v>0</v>
      </c>
    </row>
    <row r="10" spans="2:9">
      <c r="B10" t="s">
        <v>51</v>
      </c>
      <c r="C10">
        <f>_xlfn.STDEV.S(Limpieza!$D$2:$D$21)</f>
        <v>7.9300411494253247</v>
      </c>
      <c r="I10">
        <f>COUNTIF(Limpieza!$C$2:$C$21, A7)</f>
        <v>0</v>
      </c>
    </row>
    <row r="11" spans="2:9">
      <c r="I11">
        <f>COUNTIF(Limpieza!$C$2:$C$21, A8)</f>
        <v>0</v>
      </c>
    </row>
    <row r="12" spans="2:9">
      <c r="I12">
        <f>COUNTIF(Limpieza!$C$2:$C$21, A9)</f>
        <v>0</v>
      </c>
    </row>
    <row r="13" spans="2:9">
      <c r="I13">
        <f>COUNTIF(Limpieza!$C$2:$C$21, A10)</f>
        <v>0</v>
      </c>
    </row>
    <row r="14" spans="2:9">
      <c r="I14">
        <f>COUNTIF(Limpieza!$C$2:$C$21, A11)</f>
        <v>0</v>
      </c>
    </row>
    <row r="15" spans="2:9">
      <c r="I15">
        <f>COUNTIF(Limpieza!$C$2:$C$21, A12)</f>
        <v>0</v>
      </c>
    </row>
    <row r="16" spans="2:9">
      <c r="I16">
        <f>COUNTIF(Limpieza!$C$2:$C$21, A13)</f>
        <v>0</v>
      </c>
    </row>
    <row r="17" spans="9:9">
      <c r="I17">
        <f>COUNTIF(Limpieza!$C$2:$C$21, A14)</f>
        <v>0</v>
      </c>
    </row>
    <row r="18" spans="9:9">
      <c r="I18">
        <f>COUNTIF(Limpieza!$C$2:$C$21, A15)</f>
        <v>0</v>
      </c>
    </row>
    <row r="19" spans="9:9">
      <c r="I19">
        <f>COUNTIF(Limpieza!$C$2:$C$21, A16)</f>
        <v>0</v>
      </c>
    </row>
    <row r="20" spans="9:9">
      <c r="I20">
        <f>COUNTIF(Limpieza!$C$2:$C$21, A17)</f>
        <v>0</v>
      </c>
    </row>
    <row r="21" spans="9:9">
      <c r="I21">
        <f>COUNTIF(Limpieza!$C$2:$C$21, A18)</f>
        <v>0</v>
      </c>
    </row>
    <row r="22" spans="9:9">
      <c r="I22">
        <f>COUNTIF(Limpieza!$C$2:$C$21, A19)</f>
        <v>0</v>
      </c>
    </row>
    <row r="23" spans="9:9">
      <c r="I23">
        <f>COUNTIF(Limpieza!$C$2:$C$21, A20)</f>
        <v>0</v>
      </c>
    </row>
    <row r="24" spans="9:9">
      <c r="I24">
        <f>COUNTIF(Limpieza!$C$2:$C$21, A21)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C85F-521A-4CD6-B254-1A0480A3A256}">
  <dimension ref="A3:I23"/>
  <sheetViews>
    <sheetView tabSelected="1" workbookViewId="0">
      <selection activeCell="G11" sqref="G11"/>
    </sheetView>
  </sheetViews>
  <sheetFormatPr baseColWidth="10" defaultRowHeight="15"/>
  <cols>
    <col min="1" max="1" width="39.5703125" customWidth="1"/>
    <col min="2" max="2" width="13.85546875" customWidth="1"/>
    <col min="5" max="5" width="25.5703125" customWidth="1"/>
    <col min="8" max="8" width="22.7109375" customWidth="1"/>
  </cols>
  <sheetData>
    <row r="3" spans="1:9" ht="32.25" customHeight="1">
      <c r="A3" s="2" t="e" cm="1">
        <f t="array" ref="A3">A3:E14producto</f>
        <v>#NAME?</v>
      </c>
      <c r="B3" s="2" t="s">
        <v>65</v>
      </c>
      <c r="C3" t="s">
        <v>66</v>
      </c>
      <c r="D3" t="s">
        <v>67</v>
      </c>
      <c r="E3" s="2" t="s">
        <v>68</v>
      </c>
      <c r="H3" s="2"/>
    </row>
    <row r="4" spans="1:9">
      <c r="A4" s="2" t="s">
        <v>59</v>
      </c>
      <c r="B4">
        <f>COUNTIF(Limpieza!$C$2:$C$21, A4)</f>
        <v>0</v>
      </c>
      <c r="C4">
        <f>SUMIF(Limpieza!$C$2:$C$21, A4, Limpieza!$D$2:$D$21)</f>
        <v>0</v>
      </c>
      <c r="D4">
        <f>IFERROR(AVERAGEIF(Limpieza!$C$2:$C$21, A4, Limpieza!$D$2:$D$21), 0)</f>
        <v>0</v>
      </c>
      <c r="E4">
        <f>SUMIF(Limpieza!$C$2:$C$21, A4, Limpieza!$F$2:$F$21)</f>
        <v>0</v>
      </c>
      <c r="H4" s="2"/>
    </row>
    <row r="5" spans="1:9">
      <c r="A5" s="15" t="s">
        <v>60</v>
      </c>
      <c r="B5">
        <f>COUNTIF(Limpieza!$C$2:$C$21, A5)</f>
        <v>0</v>
      </c>
      <c r="C5">
        <f>SUMIF(Limpieza!$C$2:$C$21, A5, Limpieza!$D$2:$D$21)</f>
        <v>0</v>
      </c>
      <c r="D5">
        <f>IFERROR(AVERAGEIF(Limpieza!$C$2:$C$21, A5, Limpieza!$D$2:$D$21), 0)</f>
        <v>0</v>
      </c>
      <c r="E5">
        <f>SUMIF(Limpieza!$C$2:$C$21, A5, Limpieza!$F$2:$F$21)</f>
        <v>0</v>
      </c>
    </row>
    <row r="6" spans="1:9" ht="45">
      <c r="A6" s="2" t="s">
        <v>28</v>
      </c>
      <c r="B6">
        <f>COUNTIF(Limpieza!$C$2:$C$21, A6)</f>
        <v>2</v>
      </c>
      <c r="C6">
        <f>SUMIF(Limpieza!$C$2:$C$21, A6, Limpieza!$D$2:$D$21)</f>
        <v>11</v>
      </c>
      <c r="D6">
        <f>IFERROR(AVERAGEIF(Limpieza!$C$2:$C$21, A6, Limpieza!$D$2:$D$21), 0)</f>
        <v>5.5</v>
      </c>
      <c r="E6">
        <f>SUMIF(Limpieza!$C$2:$C$21, A6, Limpieza!$F$2:$F$21)</f>
        <v>0</v>
      </c>
    </row>
    <row r="7" spans="1:9" ht="45">
      <c r="A7" s="2" t="s">
        <v>28</v>
      </c>
      <c r="B7">
        <f>COUNTIF(Limpieza!$C$2:$C$21, A7)</f>
        <v>2</v>
      </c>
      <c r="C7">
        <f>SUMIF(Limpieza!$C$2:$C$21, A7, Limpieza!$D$2:$D$21)</f>
        <v>11</v>
      </c>
      <c r="D7">
        <f>IFERROR(AVERAGEIF(Limpieza!$C$2:$C$21, A7, Limpieza!$D$2:$D$21), 0)</f>
        <v>5.5</v>
      </c>
      <c r="E7">
        <f>SUMIF(Limpieza!$C$2:$C$21, A7, Limpieza!$F$2:$F$21)</f>
        <v>0</v>
      </c>
    </row>
    <row r="8" spans="1:9" ht="26.25">
      <c r="A8" s="15" t="s">
        <v>40</v>
      </c>
      <c r="B8">
        <f>COUNTIF(Limpieza!$C$2:$C$21, A8)</f>
        <v>2</v>
      </c>
      <c r="C8">
        <f>SUMIF(Limpieza!$C$2:$C$21, A8, Limpieza!$D$2:$D$21)</f>
        <v>10.3</v>
      </c>
      <c r="D8">
        <f>IFERROR(AVERAGEIF(Limpieza!$C$2:$C$21, A8, Limpieza!$D$2:$D$21), 0)</f>
        <v>5.15</v>
      </c>
      <c r="E8">
        <f>SUMIF(Limpieza!$C$2:$C$21, A8, Limpieza!$F$2:$F$21)</f>
        <v>5.7</v>
      </c>
    </row>
    <row r="9" spans="1:9">
      <c r="A9" s="15" t="s">
        <v>16</v>
      </c>
      <c r="B9">
        <f>COUNTIF(Limpieza!$C$2:$C$21, A9)</f>
        <v>1</v>
      </c>
      <c r="C9">
        <f>SUMIF(Limpieza!$C$2:$C$21, A9, Limpieza!$D$2:$D$21)</f>
        <v>6</v>
      </c>
      <c r="D9">
        <f>IFERROR(AVERAGEIF(Limpieza!$C$2:$C$21, A9, Limpieza!$D$2:$D$21), 0)</f>
        <v>6</v>
      </c>
      <c r="E9">
        <f>SUMIF(Limpieza!$C$2:$C$21, A9, Limpieza!$F$2:$F$21)</f>
        <v>0</v>
      </c>
    </row>
    <row r="10" spans="1:9">
      <c r="A10" s="2" t="s">
        <v>61</v>
      </c>
      <c r="B10">
        <f>COUNTIF(Limpieza!$C$2:$C$21, A10)</f>
        <v>0</v>
      </c>
      <c r="C10">
        <f>SUMIF(Limpieza!$C$2:$C$21, A10, Limpieza!$D$2:$D$21)</f>
        <v>0</v>
      </c>
      <c r="D10">
        <f>IFERROR(AVERAGEIF(Limpieza!$C$2:$C$21, A10, Limpieza!$D$2:$D$21), 0)</f>
        <v>0</v>
      </c>
      <c r="E10">
        <f>SUMIF(Limpieza!$C$2:$C$21, A10, Limpieza!$F$2:$F$21)</f>
        <v>0</v>
      </c>
    </row>
    <row r="11" spans="1:9" ht="28.5">
      <c r="A11" s="2" t="s">
        <v>62</v>
      </c>
      <c r="B11">
        <f>COUNTIF(Limpieza!$C$2:$C$21, A11)</f>
        <v>0</v>
      </c>
      <c r="C11">
        <f>SUMIF(Limpieza!$C$2:$C$21, A11, Limpieza!$D$2:$D$21)</f>
        <v>0</v>
      </c>
      <c r="D11">
        <f>IFERROR(AVERAGEIF(Limpieza!$C$2:$C$21, A11, Limpieza!$D$2:$D$21), 0)</f>
        <v>0</v>
      </c>
      <c r="E11">
        <f>SUMIF(Limpieza!$C$2:$C$21, A11, Limpieza!$F$2:$F$21)</f>
        <v>0</v>
      </c>
    </row>
    <row r="12" spans="1:9" ht="39">
      <c r="A12" s="15" t="s">
        <v>42</v>
      </c>
      <c r="B12">
        <f>COUNTIF(Limpieza!$C$2:$C$21, A12)</f>
        <v>2</v>
      </c>
      <c r="C12">
        <f>SUMIF(Limpieza!$C$2:$C$21, A12, Limpieza!$D$2:$D$21)</f>
        <v>5</v>
      </c>
      <c r="D12">
        <f>IFERROR(AVERAGEIF(Limpieza!$C$2:$C$21, A12, Limpieza!$D$2:$D$21), 0)</f>
        <v>2.5</v>
      </c>
      <c r="E12">
        <f>SUMIF(Limpieza!$C$2:$C$21, A12, Limpieza!$F$2:$F$21)</f>
        <v>7</v>
      </c>
    </row>
    <row r="13" spans="1:9">
      <c r="A13" s="2" t="s">
        <v>63</v>
      </c>
      <c r="B13">
        <f>COUNTIF(Limpieza!$C$2:$C$21, A13)</f>
        <v>0</v>
      </c>
      <c r="C13">
        <f>SUMIF(Limpieza!$C$2:$C$21, A13, Limpieza!$D$2:$D$21)</f>
        <v>0</v>
      </c>
      <c r="D13">
        <f>IFERROR(AVERAGEIF(Limpieza!$C$2:$C$21, A13, Limpieza!$D$2:$D$21), 0)</f>
        <v>0</v>
      </c>
      <c r="E13">
        <f>SUMIF(Limpieza!$C$2:$C$21, A13, Limpieza!$F$2:$F$21)</f>
        <v>0</v>
      </c>
    </row>
    <row r="14" spans="1:9" ht="28.5">
      <c r="A14" s="2" t="s">
        <v>64</v>
      </c>
      <c r="B14">
        <f>COUNTIF(Limpieza!$C$2:$C$21, A14)</f>
        <v>0</v>
      </c>
      <c r="C14">
        <f>SUMIF(Limpieza!$C$2:$C$21, A14, Limpieza!$D$2:$D$21)</f>
        <v>0</v>
      </c>
      <c r="D14">
        <f>IFERROR(AVERAGEIF(Limpieza!$C$2:$C$21, A14, Limpieza!$D$2:$D$21), 0)</f>
        <v>0</v>
      </c>
      <c r="E14">
        <f>SUMIF(Limpieza!$C$2:$C$21, A14, Limpieza!$F$2:$F$21)</f>
        <v>0</v>
      </c>
    </row>
    <row r="16" spans="1:9">
      <c r="I16">
        <f>SUMIF(Limpieza!$C$2:$C$21,#REF!, Limpieza!$F$2:$F$21)</f>
        <v>0</v>
      </c>
    </row>
    <row r="17" spans="3:6">
      <c r="C17">
        <f>SUMIF(Limpieza!$C$2:$C$21, A15, Limpieza!$D$2:$D$21)</f>
        <v>0</v>
      </c>
    </row>
    <row r="18" spans="3:6">
      <c r="C18">
        <f>SUMIF(Limpieza!$C$2:$C$21, A16, Limpieza!$D$2:$D$21)</f>
        <v>0</v>
      </c>
    </row>
    <row r="19" spans="3:6">
      <c r="C19">
        <f>SUMIF(Limpieza!$C$2:$C$21, A17, Limpieza!$D$2:$D$21)</f>
        <v>0</v>
      </c>
      <c r="F19" t="e">
        <f>AVERAGEIF(Limpieza!$C$2:$C$21, A17, Limpieza!$D$2:$D$21)</f>
        <v>#DIV/0!</v>
      </c>
    </row>
    <row r="20" spans="3:6">
      <c r="C20">
        <f>SUMIF(Limpieza!$C$2:$C$21, A18, Limpieza!$D$2:$D$21)</f>
        <v>0</v>
      </c>
      <c r="F20" t="e">
        <f>AVERAGEIF(Limpieza!$C$2:$C$21, A18, Limpieza!$D$2:$D$21)</f>
        <v>#DIV/0!</v>
      </c>
    </row>
    <row r="21" spans="3:6">
      <c r="C21">
        <f>SUMIF(Limpieza!$C$2:$C$21, A19, Limpieza!$D$2:$D$21)</f>
        <v>0</v>
      </c>
      <c r="F21" t="e">
        <f>AVERAGEIF(Limpieza!$C$2:$C$21, A19, Limpieza!$D$2:$D$21)</f>
        <v>#DIV/0!</v>
      </c>
    </row>
    <row r="22" spans="3:6">
      <c r="C22">
        <f>SUMIF(Limpieza!$C$2:$C$21, A20, Limpieza!$D$2:$D$21)</f>
        <v>0</v>
      </c>
      <c r="F22" t="e">
        <f>AVERAGEIF(Limpieza!$C$2:$C$21, A20, Limpieza!$D$2:$D$21)</f>
        <v>#DIV/0!</v>
      </c>
    </row>
    <row r="23" spans="3:6">
      <c r="C23">
        <f>SUMIF(Limpieza!$C$2:$C$21, A21, Limpieza!$D$2:$D$21)</f>
        <v>0</v>
      </c>
      <c r="F23" t="e">
        <f>AVERAGEIF(Limpieza!$C$2:$C$21, A21, Limpieza!$D$2:$D$21)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Limpieza</vt:lpstr>
      <vt:lpstr>Univariado</vt:lpstr>
      <vt:lpstr>Bivariado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Ferro Gomez</dc:creator>
  <cp:lastModifiedBy>Sara Ferro Gomez</cp:lastModifiedBy>
  <dcterms:created xsi:type="dcterms:W3CDTF">2026-08-10T15:09:26Z</dcterms:created>
  <dcterms:modified xsi:type="dcterms:W3CDTF">2026-08-10T17:59:08Z</dcterms:modified>
</cp:coreProperties>
</file>